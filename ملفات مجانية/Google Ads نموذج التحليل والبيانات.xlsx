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لوحة التحكم" sheetId="1" r:id="rId4"/>
    <sheet state="visible" name="📋 أداء الحملات" sheetId="2" r:id="rId5"/>
    <sheet state="visible" name="💰 حاسبة الميزانية" sheetId="3" r:id="rId6"/>
    <sheet state="visible" name="🔑 تحليل الكلمات" sheetId="4" r:id="rId7"/>
    <sheet state="visible" name="✅ مصفوفة القرار" sheetId="5" r:id="rId8"/>
    <sheet state="visible" name="📅 التقرير الشهري" sheetId="6" r:id="rId9"/>
    <sheet state="visible" name="🚫 قائمة النيغاتف" sheetId="7" r:id="rId10"/>
  </sheets>
  <definedNames/>
  <calcPr/>
  <extLst>
    <ext uri="GoogleSheetsCustomDataVersion2">
      <go:sheetsCustomData xmlns:go="http://customooxmlschemas.google.com/" r:id="rId11" roundtripDataChecksum="U9QDMKPu4xCAogpYCYrp6m4/tVO6xoBfmZXl3OAClvI="/>
    </ext>
  </extLst>
</workbook>
</file>

<file path=xl/sharedStrings.xml><?xml version="1.0" encoding="utf-8"?>
<sst xmlns="http://schemas.openxmlformats.org/spreadsheetml/2006/main" count="255" uniqueCount="187">
  <si>
    <t>🎯  لوحة تحكم Google Ads — أمل العيسى</t>
  </si>
  <si>
    <t>إجمالي الإنفاق</t>
  </si>
  <si>
    <t>إجمالي التحويلات</t>
  </si>
  <si>
    <t>متوسط ROAS</t>
  </si>
  <si>
    <t>متوسط CPA</t>
  </si>
  <si>
    <t>إجمالي النقرات</t>
  </si>
  <si>
    <t>متوسط CTR</t>
  </si>
  <si>
    <t>🚦 مؤشر الحالة — القرارات العاجلة</t>
  </si>
  <si>
    <t>الحملة</t>
  </si>
  <si>
    <t>ROAS</t>
  </si>
  <si>
    <t>الحالة</t>
  </si>
  <si>
    <t>التوصية</t>
  </si>
  <si>
    <t>📋 تتبع أداء الحملات — Google Ads</t>
  </si>
  <si>
    <t>التاريخ</t>
  </si>
  <si>
    <t>اسم الحملة</t>
  </si>
  <si>
    <t>نوع الحملة</t>
  </si>
  <si>
    <t>الإنفاق (ريال)</t>
  </si>
  <si>
    <t>الظهورات</t>
  </si>
  <si>
    <t>النقرات</t>
  </si>
  <si>
    <t>CTR</t>
  </si>
  <si>
    <t>CPC (ريال)</t>
  </si>
  <si>
    <t>التحويلات</t>
  </si>
  <si>
    <t>CVR</t>
  </si>
  <si>
    <t>CPA (ريال)</t>
  </si>
  <si>
    <t>قيمة التحويل</t>
  </si>
  <si>
    <t>2026-06-01</t>
  </si>
  <si>
    <t>حملة البحث — عطور</t>
  </si>
  <si>
    <t>Search</t>
  </si>
  <si>
    <t>نشطة</t>
  </si>
  <si>
    <t>حملة الشبكة — ريماركتنج</t>
  </si>
  <si>
    <t>Display</t>
  </si>
  <si>
    <t>Shopping — منتجات عطور</t>
  </si>
  <si>
    <t>Shopping</t>
  </si>
  <si>
    <t>2026-06-02</t>
  </si>
  <si>
    <t>📊 الإجمالي</t>
  </si>
  <si>
    <t>💡 أضيفي بياناتك اليومية أو الأسبوعية هنا — الصفوف الزرقاء للإدخال اليدوي، الصفراء للمعادلات التلقائية</t>
  </si>
  <si>
    <t>💰 حاسبة الميزانية والعائد — Google Ads</t>
  </si>
  <si>
    <t>📥 المدخلات — خاناتك الصفراء للتعديل</t>
  </si>
  <si>
    <t>هدف المبيعات الشهري (ريال)</t>
  </si>
  <si>
    <t>ريال</t>
  </si>
  <si>
    <t>متوسط قيمة الطلب الواحد (ريال)</t>
  </si>
  <si>
    <t>معدل التحويل المتوقع %</t>
  </si>
  <si>
    <t>%</t>
  </si>
  <si>
    <t>متوسط تكلفة النقرة المتوقعة (ريال CPC)</t>
  </si>
  <si>
    <t>هامش الربح %</t>
  </si>
  <si>
    <t>الـ ROAS المستهدف</t>
  </si>
  <si>
    <t>x</t>
  </si>
  <si>
    <t>📤 النتائج المحسوبة تلقائياً</t>
  </si>
  <si>
    <t>عدد الطلبات المطلوب شهرياً</t>
  </si>
  <si>
    <t>عدد الزيارات المطلوبة شهرياً</t>
  </si>
  <si>
    <t>الميزانية الإعلانية الشهرية المطلوبة (ريال)</t>
  </si>
  <si>
    <t>الميزانية اليومية الموصى بها (ريال)</t>
  </si>
  <si>
    <t>الـ ROAS المتوقع</t>
  </si>
  <si>
    <t>الربح الصافي المتوقع (ريال)</t>
  </si>
  <si>
    <t>نقطة التعادل — أدنى ROAS مقبول</t>
  </si>
  <si>
    <t>تكلفة اكتساب العميل المستهدفة (CPA)</t>
  </si>
  <si>
    <t>📊 جدول سيناريوهات الميزانية</t>
  </si>
  <si>
    <t>السيناريو</t>
  </si>
  <si>
    <t>الميزانية اليومية</t>
  </si>
  <si>
    <t>الميزانية الشهرية</t>
  </si>
  <si>
    <t>الزيارات المتوقعة</t>
  </si>
  <si>
    <t>التحويلات المتوقعة</t>
  </si>
  <si>
    <t>المبيعات المتوقعة</t>
  </si>
  <si>
    <t>🔴 محافظ</t>
  </si>
  <si>
    <t>🟡 متوسط</t>
  </si>
  <si>
    <t>🟢 مكثف</t>
  </si>
  <si>
    <t>🚀 عدواني</t>
  </si>
  <si>
    <t>🔑 تحليل الكلمات المفتاحية وقرارات التحسين</t>
  </si>
  <si>
    <t>الكلمة المفتاحية</t>
  </si>
  <si>
    <t>نوع التطابق</t>
  </si>
  <si>
    <t>CPC</t>
  </si>
  <si>
    <t>QS</t>
  </si>
  <si>
    <t>CPA</t>
  </si>
  <si>
    <t>القرار</t>
  </si>
  <si>
    <t>عطر رجالي</t>
  </si>
  <si>
    <t>Exact</t>
  </si>
  <si>
    <t>شراء عطر اونلاين</t>
  </si>
  <si>
    <t>Phrase</t>
  </si>
  <si>
    <t>عطور فاخرة</t>
  </si>
  <si>
    <t>Broad</t>
  </si>
  <si>
    <t>عطر ارخص</t>
  </si>
  <si>
    <t>عطر مجاني</t>
  </si>
  <si>
    <t>عطر كريد اصلي</t>
  </si>
  <si>
    <t>هدية عطر</t>
  </si>
  <si>
    <t>تفصيل عطر</t>
  </si>
  <si>
    <t>✅ مصفوفة القرار — متى تستمرين ومتى تغيرين ومتى توقفين</t>
  </si>
  <si>
    <t>المؤشر</t>
  </si>
  <si>
    <t>السبب المحتمل</t>
  </si>
  <si>
    <t>الإجراء الفوري</t>
  </si>
  <si>
    <t>المدة قبل القرار</t>
  </si>
  <si>
    <t>الأولوية</t>
  </si>
  <si>
    <t>أعلى من 4x</t>
  </si>
  <si>
    <t>✅ ممتاز</t>
  </si>
  <si>
    <t>الحملة ناجحة جداً</t>
  </si>
  <si>
    <t>ارفعي الميزانية 20-30%</t>
  </si>
  <si>
    <t>فورياً</t>
  </si>
  <si>
    <t>🔴 عاجل</t>
  </si>
  <si>
    <t>2x - 4x</t>
  </si>
  <si>
    <t>🟡 مقبول</t>
  </si>
  <si>
    <t>أداء متوسط — يمكن تحسينه</t>
  </si>
  <si>
    <t>راجعي الكلمات السلبية والـ Ad Copy</t>
  </si>
  <si>
    <t>أسبوع</t>
  </si>
  <si>
    <t>🟡 مهم</t>
  </si>
  <si>
    <t>أقل من 1x</t>
  </si>
  <si>
    <t>🔴 خطر</t>
  </si>
  <si>
    <t>الحملة خاسرة</t>
  </si>
  <si>
    <t>أوقفي فوراً — ابدئي التحليل</t>
  </si>
  <si>
    <t>أقل من 1%</t>
  </si>
  <si>
    <t>🔴 منخفض</t>
  </si>
  <si>
    <t>الإعلان غير جذاب أو الاستهداف خاطئ</t>
  </si>
  <si>
    <t>غيّري Headlines + راجعي المطابقة</t>
  </si>
  <si>
    <t>3 أيام</t>
  </si>
  <si>
    <t>5% وأكثر</t>
  </si>
  <si>
    <t>الإعلان جذاب للجمهور المناسب</t>
  </si>
  <si>
    <t>راجعي CVR — هل الصفحة جيدة؟</t>
  </si>
  <si>
    <t>1-4</t>
  </si>
  <si>
    <t>🔴 ضعيف جداً</t>
  </si>
  <si>
    <t>إعلان غير ذي صلة أو صفحة ضعيفة</t>
  </si>
  <si>
    <t>انشئي Ad Group مخصص + حسّني الصفحة</t>
  </si>
  <si>
    <t>7-10</t>
  </si>
  <si>
    <t>إعلان عالي الجودة = تكلفة أقل</t>
  </si>
  <si>
    <t>حافظي عليه + وسّعي الكلمات</t>
  </si>
  <si>
    <t>—</t>
  </si>
  <si>
    <t>🟢 ثانوي</t>
  </si>
  <si>
    <t>صفحة هبوط ضعيفة أو بطيئة</t>
  </si>
  <si>
    <t>اختبري صفحات هبوط جديدة + سرعة الموقع</t>
  </si>
  <si>
    <t>Impression Share</t>
  </si>
  <si>
    <t>أقل من 50%</t>
  </si>
  <si>
    <t>🟡 منخفض</t>
  </si>
  <si>
    <t>ميزانية أو عطاء منخفض</t>
  </si>
  <si>
    <t>ارفعي الميزانية أو العطاء + حسّني QS</t>
  </si>
  <si>
    <t>أعلى من هامش الربح</t>
  </si>
  <si>
    <t>تكلفة الإعلان تأكل الربح</t>
  </si>
  <si>
    <t>أوقفي الكلمات الغالية + ضيّقي الاستهداف</t>
  </si>
  <si>
    <t>Learning Phase</t>
  </si>
  <si>
    <t>أقل من 50 تحويل/شهر</t>
  </si>
  <si>
    <t>⚠️ غير مستقر</t>
  </si>
  <si>
    <t>بيانات غير كافية للـ Smart Bidding</t>
  </si>
  <si>
    <t>ابدئي بـ Maximize Clicks أو Conversions</t>
  </si>
  <si>
    <t>شهر</t>
  </si>
  <si>
    <t>📅 نموذج التقرير الشهري — Google Ads</t>
  </si>
  <si>
    <t>ملخص الشهر</t>
  </si>
  <si>
    <t>الفترة الزمنية</t>
  </si>
  <si>
    <t>من: ............  إلى: ............</t>
  </si>
  <si>
    <t>إجمالي الميزانية المخصصة (ريال)</t>
  </si>
  <si>
    <t>إجمالي الإنفاق الفعلي (ريال)</t>
  </si>
  <si>
    <t>إجمالي الإيرادات من الإعلانات (ريال)</t>
  </si>
  <si>
    <t>صافي ROAS للشهر</t>
  </si>
  <si>
    <t>متوسط CPA للشهر (ريال)</t>
  </si>
  <si>
    <t>أعلى حملة أداءً</t>
  </si>
  <si>
    <t>أضعف حملة أداءً</t>
  </si>
  <si>
    <t>🔍 الملاحظات والاستنتاجات</t>
  </si>
  <si>
    <t>ما نجح هذا الشهر:</t>
  </si>
  <si>
    <t>ما لم ينجح:</t>
  </si>
  <si>
    <t>الأخطاء المكتشفة:</t>
  </si>
  <si>
    <t>الكلمات التي أضيفت للنيغاتف:</t>
  </si>
  <si>
    <t>الاختبارات المجراة (A/B Tests):</t>
  </si>
  <si>
    <t>🎯 خطة الشهر القادم</t>
  </si>
  <si>
    <t>الميزانية المقترحة (ريال):</t>
  </si>
  <si>
    <t>الأهداف الرئيسية:</t>
  </si>
  <si>
    <t>الحملات الجديدة المخططة:</t>
  </si>
  <si>
    <t>التحسينات المطلوبة:</t>
  </si>
  <si>
    <t>الكلمات الجديدة للاختبار:</t>
  </si>
  <si>
    <t>🚫 قائمة الكلمات السلبية (Negative Keywords)</t>
  </si>
  <si>
    <t>الكلمة السلبية</t>
  </si>
  <si>
    <t>السبب</t>
  </si>
  <si>
    <t>تاريخ الإضافة</t>
  </si>
  <si>
    <t>مجاني</t>
  </si>
  <si>
    <t>لا نقدم منتجات مجانية</t>
  </si>
  <si>
    <t>مجانية</t>
  </si>
  <si>
    <t>كيفية</t>
  </si>
  <si>
    <t>استفسار معلوماتي وليس شرائي</t>
  </si>
  <si>
    <t>طريقة</t>
  </si>
  <si>
    <t>استفسار معلوماتي</t>
  </si>
  <si>
    <t>ما هو</t>
  </si>
  <si>
    <t>استفسار تعريفي</t>
  </si>
  <si>
    <t>وظائف</t>
  </si>
  <si>
    <t>متقدمو وظائف</t>
  </si>
  <si>
    <t>تقليد</t>
  </si>
  <si>
    <t>منتجات مقلدة — غير مرغوب</t>
  </si>
  <si>
    <t>رخيص جداً</t>
  </si>
  <si>
    <t>لا نستهدف شريحة الأسعار المنخفضة جداً</t>
  </si>
  <si>
    <t>مستعمل</t>
  </si>
  <si>
    <t>نبيع جديد فقط</t>
  </si>
  <si>
    <t>DIY</t>
  </si>
  <si>
    <t>نبيع منتجات جاهزة</t>
  </si>
  <si>
    <t>💡 أضيفي الكلمات السلبية الجديدة هنا باستمرار من تقرير Search Terms في Google 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</si>
</sst>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 ريال"/>
    <numFmt numFmtId="165" formatCode="0.00x"/>
  </numFmts>
  <fonts count="22">
    <font>
      <sz val="11.0"/>
      <color theme="1"/>
      <name val="Calibri"/>
      <scheme val="minor"/>
    </font>
    <font>
      <b/>
      <sz val="20.0"/>
      <color rgb="FFFFFFFF"/>
      <name val="Arial"/>
    </font>
    <font/>
    <font>
      <b/>
      <sz val="10.0"/>
      <color rgb="FFFFFFFF"/>
      <name val="Arial"/>
    </font>
    <font>
      <b/>
      <sz val="10.0"/>
      <color rgb="FF1A1A2E"/>
      <name val="Arial"/>
    </font>
    <font>
      <b/>
      <sz val="18.0"/>
      <color rgb="FFFFFFFF"/>
      <name val="Arial"/>
    </font>
    <font>
      <b/>
      <sz val="18.0"/>
      <color rgb="FF1A1A2E"/>
      <name val="Arial"/>
    </font>
    <font>
      <b/>
      <sz val="13.0"/>
      <color rgb="FFFFFFFF"/>
      <name val="Arial"/>
    </font>
    <font>
      <sz val="10.0"/>
      <color rgb="FF202124"/>
      <name val="Arial"/>
    </font>
    <font>
      <b/>
      <sz val="16.0"/>
      <color rgb="FFFFFFFF"/>
      <name val="Arial"/>
    </font>
    <font>
      <b/>
      <sz val="11.0"/>
      <color rgb="FFFFFFFF"/>
      <name val="Arial"/>
    </font>
    <font>
      <sz val="11.0"/>
      <color theme="1"/>
      <name val="Calibri"/>
    </font>
    <font>
      <i/>
      <sz val="10.0"/>
      <color rgb="FF4285F4"/>
      <name val="Arial"/>
    </font>
    <font>
      <sz val="11.0"/>
      <color rgb="FF202124"/>
      <name val="Arial"/>
    </font>
    <font>
      <b/>
      <sz val="11.0"/>
      <color rgb="FF0000FF"/>
      <name val="Arial"/>
    </font>
    <font>
      <sz val="10.0"/>
      <color rgb="FF4285F4"/>
      <name val="Arial"/>
    </font>
    <font>
      <b/>
      <sz val="12.0"/>
      <color rgb="FF000000"/>
      <name val="Arial"/>
    </font>
    <font>
      <b/>
      <sz val="13.0"/>
      <color rgb="FF1A1A2E"/>
      <name val="Arial"/>
    </font>
    <font>
      <b/>
      <sz val="11.0"/>
      <color rgb="FF202124"/>
      <name val="Arial"/>
    </font>
    <font>
      <sz val="10.0"/>
      <color rgb="FF000000"/>
      <name val="Arial"/>
    </font>
    <font>
      <b/>
      <sz val="15.0"/>
      <color rgb="FFFFFFFF"/>
      <name val="Arial"/>
    </font>
    <font>
      <b/>
      <sz val="11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FDE7"/>
        <bgColor rgb="FFFFFDE7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BBC04"/>
      </left>
      <right style="medium">
        <color rgb="FFFBBC04"/>
      </right>
      <top style="medium">
        <color rgb="FFFBBC04"/>
      </top>
      <bottom style="medium">
        <color rgb="FFFBBC04"/>
      </bottom>
    </border>
    <border>
      <left style="medium">
        <color rgb="FF34A853"/>
      </left>
      <right style="medium">
        <color rgb="FF34A853"/>
      </right>
      <top style="medium">
        <color rgb="FF34A853"/>
      </top>
      <bottom style="medium">
        <color rgb="FF34A853"/>
      </bottom>
    </border>
    <border>
      <left style="thin">
        <color rgb="FFDADCE0"/>
      </left>
      <top style="thin">
        <color rgb="FFDADCE0"/>
      </top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2" vertical="center"/>
    </xf>
    <xf borderId="1" fillId="4" fontId="3" numFmtId="0" xfId="0" applyAlignment="1" applyBorder="1" applyFill="1" applyFont="1">
      <alignment horizontal="center" readingOrder="2" vertical="center"/>
    </xf>
    <xf borderId="1" fillId="5" fontId="3" numFmtId="0" xfId="0" applyAlignment="1" applyBorder="1" applyFill="1" applyFont="1">
      <alignment horizontal="center" readingOrder="2" vertical="center"/>
    </xf>
    <xf borderId="1" fillId="6" fontId="4" numFmtId="0" xfId="0" applyAlignment="1" applyBorder="1" applyFill="1" applyFont="1">
      <alignment horizontal="center" readingOrder="2" vertical="center"/>
    </xf>
    <xf borderId="1" fillId="2" fontId="3" numFmtId="0" xfId="0" applyAlignment="1" applyBorder="1" applyFont="1">
      <alignment horizontal="center" readingOrder="2" vertical="center"/>
    </xf>
    <xf borderId="4" fillId="7" fontId="3" numFmtId="0" xfId="0" applyAlignment="1" applyBorder="1" applyFill="1" applyFont="1">
      <alignment horizontal="center" readingOrder="2" vertical="center"/>
    </xf>
    <xf borderId="5" fillId="3" fontId="5" numFmtId="164" xfId="0" applyAlignment="1" applyBorder="1" applyFont="1" applyNumberFormat="1">
      <alignment horizontal="center" readingOrder="2" vertical="center"/>
    </xf>
    <xf borderId="6" fillId="0" fontId="2" numFmtId="0" xfId="0" applyBorder="1" applyFont="1"/>
    <xf borderId="5" fillId="4" fontId="5" numFmtId="3" xfId="0" applyAlignment="1" applyBorder="1" applyFont="1" applyNumberFormat="1">
      <alignment horizontal="center" readingOrder="2" vertical="center"/>
    </xf>
    <xf borderId="5" fillId="5" fontId="5" numFmtId="165" xfId="0" applyAlignment="1" applyBorder="1" applyFont="1" applyNumberFormat="1">
      <alignment horizontal="center" readingOrder="2" vertical="center"/>
    </xf>
    <xf borderId="5" fillId="6" fontId="6" numFmtId="164" xfId="0" applyAlignment="1" applyBorder="1" applyFont="1" applyNumberFormat="1">
      <alignment horizontal="center" readingOrder="2" vertical="center"/>
    </xf>
    <xf borderId="5" fillId="2" fontId="5" numFmtId="3" xfId="0" applyAlignment="1" applyBorder="1" applyFont="1" applyNumberFormat="1">
      <alignment horizontal="center" readingOrder="2" vertical="center"/>
    </xf>
    <xf borderId="7" fillId="7" fontId="5" numFmtId="10" xfId="0" applyAlignment="1" applyBorder="1" applyFont="1" applyNumberFormat="1">
      <alignment horizontal="center" readingOrder="2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5" fontId="7" numFmtId="0" xfId="0" applyAlignment="1" applyBorder="1" applyFont="1">
      <alignment horizontal="center" readingOrder="2" shrinkToFit="0" vertical="center" wrapText="1"/>
    </xf>
    <xf borderId="11" fillId="3" fontId="3" numFmtId="0" xfId="0" applyAlignment="1" applyBorder="1" applyFont="1">
      <alignment horizontal="center" readingOrder="2" vertical="center"/>
    </xf>
    <xf borderId="11" fillId="8" fontId="8" numFmtId="0" xfId="0" applyAlignment="1" applyBorder="1" applyFill="1" applyFont="1">
      <alignment horizontal="right" readingOrder="2" shrinkToFit="0" vertical="center" wrapText="1"/>
    </xf>
    <xf borderId="11" fillId="8" fontId="8" numFmtId="165" xfId="0" applyAlignment="1" applyBorder="1" applyFont="1" applyNumberFormat="1">
      <alignment horizontal="right" readingOrder="2" shrinkToFit="0" vertical="center" wrapText="1"/>
    </xf>
    <xf borderId="11" fillId="9" fontId="8" numFmtId="0" xfId="0" applyAlignment="1" applyBorder="1" applyFill="1" applyFont="1">
      <alignment horizontal="right" readingOrder="2" shrinkToFit="0" vertical="center" wrapText="1"/>
    </xf>
    <xf borderId="11" fillId="9" fontId="8" numFmtId="165" xfId="0" applyAlignment="1" applyBorder="1" applyFont="1" applyNumberFormat="1">
      <alignment horizontal="right" readingOrder="2" shrinkToFit="0" vertical="center" wrapText="1"/>
    </xf>
    <xf borderId="1" fillId="2" fontId="9" numFmtId="0" xfId="0" applyAlignment="1" applyBorder="1" applyFont="1">
      <alignment horizontal="center" readingOrder="2" vertical="center"/>
    </xf>
    <xf borderId="12" fillId="3" fontId="10" numFmtId="0" xfId="0" applyAlignment="1" applyBorder="1" applyFont="1">
      <alignment horizontal="center" readingOrder="2" shrinkToFit="0" vertical="center" wrapText="1"/>
    </xf>
    <xf borderId="11" fillId="8" fontId="8" numFmtId="0" xfId="0" applyAlignment="1" applyBorder="1" applyFont="1">
      <alignment horizontal="center" readingOrder="2" vertical="center"/>
    </xf>
    <xf borderId="11" fillId="8" fontId="11" numFmtId="10" xfId="0" applyAlignment="1" applyBorder="1" applyFont="1" applyNumberFormat="1">
      <alignment horizontal="center" readingOrder="2" vertical="center"/>
    </xf>
    <xf borderId="11" fillId="8" fontId="11" numFmtId="4" xfId="0" applyAlignment="1" applyBorder="1" applyFont="1" applyNumberFormat="1">
      <alignment horizontal="center" readingOrder="2" vertical="center"/>
    </xf>
    <xf borderId="11" fillId="8" fontId="11" numFmtId="165" xfId="0" applyAlignment="1" applyBorder="1" applyFont="1" applyNumberFormat="1">
      <alignment horizontal="center" readingOrder="2" vertical="center"/>
    </xf>
    <xf borderId="11" fillId="9" fontId="8" numFmtId="0" xfId="0" applyAlignment="1" applyBorder="1" applyFont="1">
      <alignment horizontal="center" readingOrder="2" vertical="center"/>
    </xf>
    <xf borderId="11" fillId="9" fontId="11" numFmtId="10" xfId="0" applyAlignment="1" applyBorder="1" applyFont="1" applyNumberFormat="1">
      <alignment horizontal="center" readingOrder="2" vertical="center"/>
    </xf>
    <xf borderId="11" fillId="9" fontId="11" numFmtId="4" xfId="0" applyAlignment="1" applyBorder="1" applyFont="1" applyNumberFormat="1">
      <alignment horizontal="center" readingOrder="2" vertical="center"/>
    </xf>
    <xf borderId="11" fillId="9" fontId="11" numFmtId="165" xfId="0" applyAlignment="1" applyBorder="1" applyFont="1" applyNumberFormat="1">
      <alignment horizontal="center" readingOrder="2" vertical="center"/>
    </xf>
    <xf borderId="1" fillId="2" fontId="10" numFmtId="0" xfId="0" applyAlignment="1" applyBorder="1" applyFont="1">
      <alignment horizontal="center" readingOrder="2" vertical="center"/>
    </xf>
    <xf borderId="12" fillId="2" fontId="10" numFmtId="4" xfId="0" applyAlignment="1" applyBorder="1" applyFont="1" applyNumberFormat="1">
      <alignment horizontal="center" readingOrder="2" vertical="center"/>
    </xf>
    <xf borderId="12" fillId="2" fontId="10" numFmtId="3" xfId="0" applyAlignment="1" applyBorder="1" applyFont="1" applyNumberFormat="1">
      <alignment horizontal="center" readingOrder="2" vertical="center"/>
    </xf>
    <xf borderId="12" fillId="2" fontId="10" numFmtId="10" xfId="0" applyAlignment="1" applyBorder="1" applyFont="1" applyNumberFormat="1">
      <alignment horizontal="center" readingOrder="2" vertical="center"/>
    </xf>
    <xf borderId="12" fillId="2" fontId="10" numFmtId="165" xfId="0" applyAlignment="1" applyBorder="1" applyFont="1" applyNumberFormat="1">
      <alignment horizontal="center" readingOrder="2" vertical="center"/>
    </xf>
    <xf borderId="0" fillId="0" fontId="12" numFmtId="0" xfId="0" applyAlignment="1" applyFont="1">
      <alignment readingOrder="0"/>
    </xf>
    <xf borderId="1" fillId="3" fontId="7" numFmtId="0" xfId="0" applyAlignment="1" applyBorder="1" applyFont="1">
      <alignment horizontal="center" readingOrder="2" shrinkToFit="0" vertical="center" wrapText="1"/>
    </xf>
    <xf borderId="4" fillId="9" fontId="13" numFmtId="0" xfId="0" applyAlignment="1" applyBorder="1" applyFont="1">
      <alignment horizontal="right" readingOrder="2" vertical="center"/>
    </xf>
    <xf borderId="13" fillId="10" fontId="14" numFmtId="0" xfId="0" applyAlignment="1" applyBorder="1" applyFill="1" applyFont="1">
      <alignment horizontal="center" readingOrder="2" vertical="center"/>
    </xf>
    <xf borderId="0" fillId="0" fontId="15" numFmtId="0" xfId="0" applyAlignment="1" applyFont="1">
      <alignment horizontal="center" readingOrder="2" vertical="center"/>
    </xf>
    <xf borderId="1" fillId="4" fontId="7" numFmtId="0" xfId="0" applyAlignment="1" applyBorder="1" applyFont="1">
      <alignment horizontal="center" readingOrder="2" shrinkToFit="0" vertical="center" wrapText="1"/>
    </xf>
    <xf borderId="11" fillId="11" fontId="13" numFmtId="0" xfId="0" applyAlignment="1" applyBorder="1" applyFill="1" applyFont="1">
      <alignment horizontal="right" readingOrder="2" vertical="center"/>
    </xf>
    <xf borderId="14" fillId="12" fontId="16" numFmtId="3" xfId="0" applyAlignment="1" applyBorder="1" applyFill="1" applyFont="1" applyNumberFormat="1">
      <alignment horizontal="center" readingOrder="2" vertical="center"/>
    </xf>
    <xf borderId="14" fillId="12" fontId="16" numFmtId="4" xfId="0" applyAlignment="1" applyBorder="1" applyFont="1" applyNumberFormat="1">
      <alignment horizontal="center" readingOrder="2" vertical="center"/>
    </xf>
    <xf borderId="14" fillId="12" fontId="16" numFmtId="165" xfId="0" applyAlignment="1" applyBorder="1" applyFont="1" applyNumberFormat="1">
      <alignment horizontal="center" readingOrder="2" vertical="center"/>
    </xf>
    <xf borderId="1" fillId="6" fontId="17" numFmtId="0" xfId="0" applyAlignment="1" applyBorder="1" applyFont="1">
      <alignment horizontal="center" readingOrder="2" shrinkToFit="0" vertical="center" wrapText="1"/>
    </xf>
    <xf borderId="11" fillId="2" fontId="3" numFmtId="0" xfId="0" applyAlignment="1" applyBorder="1" applyFont="1">
      <alignment horizontal="center" readingOrder="2" shrinkToFit="0" vertical="center" wrapText="1"/>
    </xf>
    <xf borderId="4" fillId="9" fontId="18" numFmtId="0" xfId="0" applyAlignment="1" applyBorder="1" applyFont="1">
      <alignment horizontal="center" readingOrder="2" vertical="center"/>
    </xf>
    <xf borderId="13" fillId="10" fontId="14" numFmtId="3" xfId="0" applyAlignment="1" applyBorder="1" applyFont="1" applyNumberFormat="1">
      <alignment horizontal="center" readingOrder="2" vertical="center"/>
    </xf>
    <xf borderId="11" fillId="9" fontId="19" numFmtId="4" xfId="0" applyAlignment="1" applyBorder="1" applyFont="1" applyNumberFormat="1">
      <alignment horizontal="center" readingOrder="2" vertical="center"/>
    </xf>
    <xf borderId="11" fillId="9" fontId="19" numFmtId="3" xfId="0" applyAlignment="1" applyBorder="1" applyFont="1" applyNumberFormat="1">
      <alignment horizontal="center" readingOrder="2" vertical="center"/>
    </xf>
    <xf borderId="4" fillId="10" fontId="18" numFmtId="0" xfId="0" applyAlignment="1" applyBorder="1" applyFont="1">
      <alignment horizontal="center" readingOrder="2" vertical="center"/>
    </xf>
    <xf borderId="11" fillId="10" fontId="19" numFmtId="4" xfId="0" applyAlignment="1" applyBorder="1" applyFont="1" applyNumberFormat="1">
      <alignment horizontal="center" readingOrder="2" vertical="center"/>
    </xf>
    <xf borderId="11" fillId="10" fontId="19" numFmtId="3" xfId="0" applyAlignment="1" applyBorder="1" applyFont="1" applyNumberFormat="1">
      <alignment horizontal="center" readingOrder="2" vertical="center"/>
    </xf>
    <xf borderId="4" fillId="11" fontId="18" numFmtId="0" xfId="0" applyAlignment="1" applyBorder="1" applyFont="1">
      <alignment horizontal="center" readingOrder="2" vertical="center"/>
    </xf>
    <xf borderId="11" fillId="11" fontId="19" numFmtId="4" xfId="0" applyAlignment="1" applyBorder="1" applyFont="1" applyNumberFormat="1">
      <alignment horizontal="center" readingOrder="2" vertical="center"/>
    </xf>
    <xf borderId="11" fillId="11" fontId="19" numFmtId="3" xfId="0" applyAlignment="1" applyBorder="1" applyFont="1" applyNumberFormat="1">
      <alignment horizontal="center" readingOrder="2" vertical="center"/>
    </xf>
    <xf borderId="4" fillId="13" fontId="18" numFmtId="0" xfId="0" applyAlignment="1" applyBorder="1" applyFill="1" applyFont="1">
      <alignment horizontal="center" readingOrder="2" vertical="center"/>
    </xf>
    <xf borderId="11" fillId="13" fontId="19" numFmtId="4" xfId="0" applyAlignment="1" applyBorder="1" applyFont="1" applyNumberFormat="1">
      <alignment horizontal="center" readingOrder="2" vertical="center"/>
    </xf>
    <xf borderId="11" fillId="13" fontId="19" numFmtId="3" xfId="0" applyAlignment="1" applyBorder="1" applyFont="1" applyNumberFormat="1">
      <alignment horizontal="center" readingOrder="2" vertical="center"/>
    </xf>
    <xf borderId="12" fillId="3" fontId="3" numFmtId="0" xfId="0" applyAlignment="1" applyBorder="1" applyFont="1">
      <alignment horizontal="center" readingOrder="2" shrinkToFit="0" vertical="center" wrapText="1"/>
    </xf>
    <xf borderId="11" fillId="8" fontId="8" numFmtId="0" xfId="0" applyAlignment="1" applyBorder="1" applyFont="1">
      <alignment horizontal="center" readingOrder="2" shrinkToFit="0" vertical="center" wrapText="1"/>
    </xf>
    <xf borderId="11" fillId="8" fontId="8" numFmtId="10" xfId="0" applyAlignment="1" applyBorder="1" applyFont="1" applyNumberFormat="1">
      <alignment horizontal="center" readingOrder="2" shrinkToFit="0" vertical="center" wrapText="1"/>
    </xf>
    <xf borderId="11" fillId="8" fontId="8" numFmtId="4" xfId="0" applyAlignment="1" applyBorder="1" applyFont="1" applyNumberFormat="1">
      <alignment horizontal="center" readingOrder="2" shrinkToFit="0" vertical="center" wrapText="1"/>
    </xf>
    <xf borderId="11" fillId="14" fontId="8" numFmtId="0" xfId="0" applyAlignment="1" applyBorder="1" applyFill="1" applyFont="1">
      <alignment horizontal="center" readingOrder="2" shrinkToFit="0" vertical="center" wrapText="1"/>
    </xf>
    <xf borderId="11" fillId="9" fontId="8" numFmtId="0" xfId="0" applyAlignment="1" applyBorder="1" applyFont="1">
      <alignment horizontal="center" readingOrder="2" shrinkToFit="0" vertical="center" wrapText="1"/>
    </xf>
    <xf borderId="11" fillId="9" fontId="8" numFmtId="10" xfId="0" applyAlignment="1" applyBorder="1" applyFont="1" applyNumberFormat="1">
      <alignment horizontal="center" readingOrder="2" shrinkToFit="0" vertical="center" wrapText="1"/>
    </xf>
    <xf borderId="11" fillId="9" fontId="8" numFmtId="4" xfId="0" applyAlignment="1" applyBorder="1" applyFont="1" applyNumberFormat="1">
      <alignment horizontal="center" readingOrder="2" shrinkToFit="0" vertical="center" wrapText="1"/>
    </xf>
    <xf borderId="11" fillId="15" fontId="8" numFmtId="0" xfId="0" applyAlignment="1" applyBorder="1" applyFill="1" applyFont="1">
      <alignment horizontal="center" readingOrder="2" shrinkToFit="0" vertical="center" wrapText="1"/>
    </xf>
    <xf borderId="11" fillId="16" fontId="8" numFmtId="0" xfId="0" applyAlignment="1" applyBorder="1" applyFill="1" applyFont="1">
      <alignment horizontal="center" readingOrder="2" shrinkToFit="0" vertical="center" wrapText="1"/>
    </xf>
    <xf borderId="1" fillId="2" fontId="20" numFmtId="0" xfId="0" applyAlignment="1" applyBorder="1" applyFont="1">
      <alignment horizontal="center" readingOrder="2" vertical="center"/>
    </xf>
    <xf borderId="12" fillId="5" fontId="3" numFmtId="0" xfId="0" applyAlignment="1" applyBorder="1" applyFont="1">
      <alignment horizontal="center" readingOrder="2" shrinkToFit="0" vertical="center" wrapText="1"/>
    </xf>
    <xf borderId="15" fillId="9" fontId="18" numFmtId="0" xfId="0" applyAlignment="1" applyBorder="1" applyFont="1">
      <alignment horizontal="right" readingOrder="2" vertical="center"/>
    </xf>
    <xf borderId="16" fillId="0" fontId="2" numFmtId="0" xfId="0" applyBorder="1" applyFont="1"/>
    <xf borderId="17" fillId="0" fontId="2" numFmtId="0" xfId="0" applyBorder="1" applyFont="1"/>
    <xf borderId="13" fillId="10" fontId="14" numFmtId="4" xfId="0" applyAlignment="1" applyBorder="1" applyFont="1" applyNumberFormat="1">
      <alignment horizontal="center" readingOrder="2" vertical="center"/>
    </xf>
    <xf borderId="14" fillId="12" fontId="21" numFmtId="165" xfId="0" applyAlignment="1" applyBorder="1" applyFont="1" applyNumberFormat="1">
      <alignment horizontal="center" readingOrder="2" vertical="center"/>
    </xf>
    <xf borderId="14" fillId="12" fontId="21" numFmtId="4" xfId="0" applyAlignment="1" applyBorder="1" applyFont="1" applyNumberFormat="1">
      <alignment horizontal="center" readingOrder="2" vertical="center"/>
    </xf>
    <xf borderId="1" fillId="9" fontId="18" numFmtId="0" xfId="0" applyAlignment="1" applyBorder="1" applyFont="1">
      <alignment horizontal="right" readingOrder="2" vertical="center"/>
    </xf>
    <xf borderId="15" fillId="8" fontId="11" numFmtId="0" xfId="0" applyBorder="1" applyFont="1"/>
    <xf borderId="1" fillId="15" fontId="18" numFmtId="0" xfId="0" applyAlignment="1" applyBorder="1" applyFont="1">
      <alignment readingOrder="0"/>
    </xf>
    <xf borderId="1" fillId="5" fontId="20" numFmtId="0" xfId="0" applyAlignment="1" applyBorder="1" applyFont="1">
      <alignment horizontal="center" readingOrder="2" vertical="center"/>
    </xf>
    <xf borderId="11" fillId="2" fontId="10" numFmtId="0" xfId="0" applyAlignment="1" applyBorder="1" applyFont="1">
      <alignment horizontal="center" readingOrder="2" vertical="center"/>
    </xf>
    <xf borderId="0" fillId="0" fontId="12" numFmtId="0" xfId="0" applyAlignment="1" applyFont="1">
      <alignment horizontal="center" readingOrder="2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12.0"/>
    <col customWidth="1" min="4" max="4" width="16.0"/>
    <col customWidth="1" min="5" max="5" width="20.0"/>
    <col customWidth="1" min="6" max="8" width="12.0"/>
    <col customWidth="1" min="9" max="9" width="18.0"/>
    <col customWidth="1" min="10" max="10" width="12.0"/>
    <col customWidth="1" min="11" max="11" width="18.0"/>
    <col customWidth="1" min="12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/>
    <row r="3">
      <c r="A3" s="4" t="s">
        <v>1</v>
      </c>
      <c r="B3" s="3"/>
      <c r="C3" s="5" t="s">
        <v>2</v>
      </c>
      <c r="D3" s="3"/>
      <c r="E3" s="6" t="s">
        <v>3</v>
      </c>
      <c r="F3" s="3"/>
      <c r="G3" s="7" t="s">
        <v>4</v>
      </c>
      <c r="H3" s="3"/>
      <c r="I3" s="8" t="s">
        <v>5</v>
      </c>
      <c r="J3" s="3"/>
      <c r="K3" s="9" t="s">
        <v>6</v>
      </c>
    </row>
    <row r="4">
      <c r="A4" s="10">
        <f>SUM('📋 أداء الحملات'!D2:D100)</f>
        <v>1996</v>
      </c>
      <c r="B4" s="11"/>
      <c r="C4" s="12">
        <f>SUM('📋 أداء الحملات'!I2:I100)</f>
        <v>188</v>
      </c>
      <c r="D4" s="11"/>
      <c r="E4" s="13">
        <f>IFERROR(SUM('📋 أداء الحملات'!K2:K100)/COUNTA('📋 أداء الحملات'!K2:K100),0)</f>
        <v>12.72108391</v>
      </c>
      <c r="F4" s="11"/>
      <c r="G4" s="14">
        <f>IFERROR(SUM('📋 أداء الحملات'!D2:D100)/SUM('📋 أداء الحملات'!I2:I100),0)</f>
        <v>10.61702128</v>
      </c>
      <c r="H4" s="11"/>
      <c r="I4" s="15">
        <f>SUM('📋 أداء الحملات'!F2:F100)</f>
        <v>4930</v>
      </c>
      <c r="J4" s="11"/>
      <c r="K4" s="16">
        <f>IFERROR(SUM('📋 أداء الحملات'!F2:F100)/SUM('📋 أداء الحملات'!E2:E100),0)</f>
        <v>0.02286641929</v>
      </c>
    </row>
    <row r="5">
      <c r="A5" s="17"/>
      <c r="B5" s="18"/>
      <c r="C5" s="17"/>
      <c r="D5" s="18"/>
      <c r="E5" s="17"/>
      <c r="F5" s="18"/>
      <c r="G5" s="17"/>
      <c r="H5" s="18"/>
      <c r="I5" s="17"/>
      <c r="J5" s="18"/>
      <c r="K5" s="19"/>
    </row>
    <row r="7">
      <c r="A7" s="20" t="s">
        <v>7</v>
      </c>
      <c r="B7" s="2"/>
      <c r="C7" s="2"/>
      <c r="D7" s="2"/>
      <c r="E7" s="2"/>
      <c r="F7" s="2"/>
      <c r="G7" s="2"/>
      <c r="H7" s="2"/>
      <c r="I7" s="2"/>
      <c r="J7" s="2"/>
      <c r="K7" s="3"/>
    </row>
    <row r="8">
      <c r="A8" s="21" t="s">
        <v>8</v>
      </c>
      <c r="B8" s="21" t="s">
        <v>9</v>
      </c>
      <c r="C8" s="21" t="s">
        <v>10</v>
      </c>
      <c r="D8" s="21" t="s">
        <v>11</v>
      </c>
    </row>
    <row r="9">
      <c r="A9" s="22" t="str">
        <f>IFERROR('📋 أداء الحملات'!B2,"")</f>
        <v>اسم الحملة</v>
      </c>
      <c r="B9" s="23" t="str">
        <f>IFERROR('📋 أداء الحملات'!K2,"")</f>
        <v>ROAS</v>
      </c>
      <c r="C9" s="22" t="str">
        <f>IFERROR(IF('📋 أداء الحملات'!K2&gt;=4,"✅ ممتاز",IF('📋 أداء الحملات'!K2&gt;=2,"🟡 مقبول","🔴 يحتاج مراجعة")),"—")</f>
        <v>✅ ممتاز</v>
      </c>
      <c r="D9" s="22" t="str">
        <f>IFERROR(IF('📋 أداء الحملات'!K2&gt;=4,"استمري وزيدي الميزانية",IF('📋 أداء الحملات'!K2&gt;=2,"راجعي الكلمات والإعلانات","أوقفي وحللي السبب")),"—")</f>
        <v>استمري وزيدي الميزانية</v>
      </c>
    </row>
    <row r="10">
      <c r="A10" s="24" t="str">
        <f>IFERROR('📋 أداء الحملات'!B3,"")</f>
        <v>حملة البحث — عطور</v>
      </c>
      <c r="B10" s="25">
        <f>IFERROR('📋 أداء الحملات'!K3,"")</f>
        <v>10.8</v>
      </c>
      <c r="C10" s="24" t="str">
        <f>IFERROR(IF('📋 أداء الحملات'!K3&gt;=4,"✅ ممتاز",IF('📋 أداء الحملات'!K3&gt;=2,"🟡 مقبول","🔴 يحتاج مراجعة")),"—")</f>
        <v>✅ ممتاز</v>
      </c>
      <c r="D10" s="24" t="str">
        <f>IFERROR(IF('📋 أداء الحملات'!K3&gt;=4,"استمري وزيدي الميزانية",IF('📋 أداء الحملات'!K3&gt;=2,"راجعي الكلمات والإعلانات","أوقفي وحللي السبب")),"—")</f>
        <v>استمري وزيدي الميزانية</v>
      </c>
    </row>
    <row r="11">
      <c r="A11" s="22" t="str">
        <f>IFERROR('📋 أداء الحملات'!B4,"")</f>
        <v>حملة الشبكة — ريماركتنج</v>
      </c>
      <c r="B11" s="23">
        <f>IFERROR('📋 أداء الحملات'!K4,"")</f>
        <v>11.29411765</v>
      </c>
      <c r="C11" s="22" t="str">
        <f>IFERROR(IF('📋 أداء الحملات'!K4&gt;=4,"✅ ممتاز",IF('📋 أداء الحملات'!K4&gt;=2,"🟡 مقبول","🔴 يحتاج مراجعة")),"—")</f>
        <v>✅ ممتاز</v>
      </c>
      <c r="D11" s="22" t="str">
        <f>IFERROR(IF('📋 أداء الحملات'!K4&gt;=4,"استمري وزيدي الميزانية",IF('📋 أداء الحملات'!K4&gt;=2,"راجعي الكلمات والإعلانات","أوقفي وحللي السبب")),"—")</f>
        <v>استمري وزيدي الميزانية</v>
      </c>
    </row>
    <row r="12">
      <c r="A12" s="24" t="str">
        <f>IFERROR('📋 أداء الحملات'!B5,"")</f>
        <v>Shopping — منتجات عطور</v>
      </c>
      <c r="B12" s="25">
        <f>IFERROR('📋 أداء الحملات'!K5,"")</f>
        <v>20.26315789</v>
      </c>
      <c r="C12" s="24" t="str">
        <f>IFERROR(IF('📋 أداء الحملات'!K5&gt;=4,"✅ ممتاز",IF('📋 أداء الحملات'!K5&gt;=2,"🟡 مقبول","🔴 يحتاج مراجعة")),"—")</f>
        <v>✅ ممتاز</v>
      </c>
      <c r="D12" s="24" t="str">
        <f>IFERROR(IF('📋 أداء الحملات'!K5&gt;=4,"استمري وزيدي الميزانية",IF('📋 أداء الحملات'!K5&gt;=2,"راجعي الكلمات والإعلانات","أوقفي وحللي السبب")),"—")</f>
        <v>استمري وزيدي الميزانية</v>
      </c>
    </row>
    <row r="13">
      <c r="A13" s="22" t="str">
        <f>IFERROR('📋 أداء الحملات'!B6,"")</f>
        <v>حملة البحث — عطور</v>
      </c>
      <c r="B13" s="23">
        <f>IFERROR('📋 أداء الحملات'!K6,"")</f>
        <v>11.75373134</v>
      </c>
      <c r="C13" s="22" t="str">
        <f>IFERROR(IF('📋 أداء الحملات'!K6&gt;=4,"✅ ممتاز",IF('📋 أداء الحملات'!K6&gt;=2,"🟡 مقبول","🔴 يحتاج مراجعة")),"—")</f>
        <v>✅ ممتاز</v>
      </c>
      <c r="D13" s="22" t="str">
        <f>IFERROR(IF('📋 أداء الحملات'!K6&gt;=4,"استمري وزيدي الميزانية",IF('📋 أداء الحملات'!K6&gt;=2,"راجعي الكلمات والإعلانات","أوقفي وحللي السبب")),"—")</f>
        <v>استمري وزيدي الميزانية</v>
      </c>
    </row>
    <row r="14">
      <c r="A14" s="24" t="str">
        <f>IFERROR('📋 أداء الحملات'!B7,"")</f>
        <v>Shopping — منتجات عطور</v>
      </c>
      <c r="B14" s="25">
        <f>IFERROR('📋 أداء الحملات'!K7,"")</f>
        <v>20.12195122</v>
      </c>
      <c r="C14" s="24" t="str">
        <f>IFERROR(IF('📋 أداء الحملات'!K7&gt;=4,"✅ ممتاز",IF('📋 أداء الحملات'!K7&gt;=2,"🟡 مقبول","🔴 يحتاج مراجعة")),"—")</f>
        <v>✅ ممتاز</v>
      </c>
      <c r="D14" s="24" t="str">
        <f>IFERROR(IF('📋 أداء الحملات'!K7&gt;=4,"استمري وزيدي الميزانية",IF('📋 أداء الحملات'!K7&gt;=2,"راجعي الكلمات والإعلانات","أوقفي وحللي السبب")),"—")</f>
        <v>استمري وزيدي الميزانية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4:D5"/>
    <mergeCell ref="E4:F5"/>
    <mergeCell ref="G4:H5"/>
    <mergeCell ref="I4:J5"/>
    <mergeCell ref="A4:B5"/>
    <mergeCell ref="A7:K7"/>
    <mergeCell ref="A1:K1"/>
    <mergeCell ref="A3:B3"/>
    <mergeCell ref="C3:D3"/>
    <mergeCell ref="E3:F3"/>
    <mergeCell ref="G3:H3"/>
    <mergeCell ref="I3:J3"/>
    <mergeCell ref="K4:K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28.0"/>
    <col customWidth="1" min="3" max="4" width="16.0"/>
    <col customWidth="1" min="5" max="5" width="14.0"/>
    <col customWidth="1" min="6" max="6" width="12.0"/>
    <col customWidth="1" min="7" max="7" width="10.0"/>
    <col customWidth="1" min="8" max="8" width="12.0"/>
    <col customWidth="1" min="9" max="9" width="14.0"/>
    <col customWidth="1" min="10" max="11" width="10.0"/>
    <col customWidth="1" min="12" max="12" width="14.0"/>
    <col customWidth="1" min="13" max="13" width="16.0"/>
    <col customWidth="1" min="14" max="14" width="12.0"/>
    <col customWidth="1" min="15" max="26" width="8.71"/>
  </cols>
  <sheetData>
    <row r="1" ht="34.5" customHeight="1">
      <c r="A1" s="26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27" t="s">
        <v>13</v>
      </c>
      <c r="B2" s="27" t="s">
        <v>14</v>
      </c>
      <c r="C2" s="27" t="s">
        <v>15</v>
      </c>
      <c r="D2" s="27" t="s">
        <v>16</v>
      </c>
      <c r="E2" s="27" t="s">
        <v>17</v>
      </c>
      <c r="F2" s="27" t="s">
        <v>18</v>
      </c>
      <c r="G2" s="27" t="s">
        <v>19</v>
      </c>
      <c r="H2" s="27" t="s">
        <v>20</v>
      </c>
      <c r="I2" s="27" t="s">
        <v>21</v>
      </c>
      <c r="J2" s="27" t="s">
        <v>22</v>
      </c>
      <c r="K2" s="27" t="s">
        <v>9</v>
      </c>
      <c r="L2" s="27" t="s">
        <v>23</v>
      </c>
      <c r="M2" s="27" t="s">
        <v>24</v>
      </c>
      <c r="N2" s="27" t="s">
        <v>10</v>
      </c>
    </row>
    <row r="3">
      <c r="A3" s="28" t="s">
        <v>25</v>
      </c>
      <c r="B3" s="28" t="s">
        <v>26</v>
      </c>
      <c r="C3" s="28" t="s">
        <v>27</v>
      </c>
      <c r="D3" s="28">
        <v>250.0</v>
      </c>
      <c r="E3" s="28">
        <v>18500.0</v>
      </c>
      <c r="F3" s="28">
        <v>620.0</v>
      </c>
      <c r="G3" s="29">
        <f t="shared" ref="G3:G7" si="1">IFERROR(F3/E3,0)</f>
        <v>0.03351351351</v>
      </c>
      <c r="H3" s="30">
        <f t="shared" ref="H3:H7" si="2">IFERROR(D3/F3,0)</f>
        <v>0.4032258065</v>
      </c>
      <c r="I3" s="28">
        <v>18.0</v>
      </c>
      <c r="J3" s="29">
        <f t="shared" ref="J3:J7" si="3">IFERROR(I3/F3,0)</f>
        <v>0.02903225806</v>
      </c>
      <c r="K3" s="31">
        <f t="shared" ref="K3:K7" si="4">IFERROR(M3/D3,0)</f>
        <v>10.8</v>
      </c>
      <c r="L3" s="30">
        <f t="shared" ref="L3:L7" si="5">IFERROR(D3/I3,0)</f>
        <v>13.88888889</v>
      </c>
      <c r="M3" s="28">
        <v>2700.0</v>
      </c>
      <c r="N3" s="28" t="s">
        <v>28</v>
      </c>
    </row>
    <row r="4">
      <c r="A4" s="32" t="s">
        <v>25</v>
      </c>
      <c r="B4" s="32" t="s">
        <v>29</v>
      </c>
      <c r="C4" s="32" t="s">
        <v>30</v>
      </c>
      <c r="D4" s="32">
        <v>85.0</v>
      </c>
      <c r="E4" s="32">
        <v>45000.0</v>
      </c>
      <c r="F4" s="32">
        <v>210.0</v>
      </c>
      <c r="G4" s="33">
        <f t="shared" si="1"/>
        <v>0.004666666667</v>
      </c>
      <c r="H4" s="34">
        <f t="shared" si="2"/>
        <v>0.4047619048</v>
      </c>
      <c r="I4" s="32">
        <v>8.0</v>
      </c>
      <c r="J4" s="33">
        <f t="shared" si="3"/>
        <v>0.0380952381</v>
      </c>
      <c r="K4" s="35">
        <f t="shared" si="4"/>
        <v>11.29411765</v>
      </c>
      <c r="L4" s="34">
        <f t="shared" si="5"/>
        <v>10.625</v>
      </c>
      <c r="M4" s="32">
        <v>960.0</v>
      </c>
      <c r="N4" s="32" t="s">
        <v>28</v>
      </c>
    </row>
    <row r="5">
      <c r="A5" s="28" t="s">
        <v>25</v>
      </c>
      <c r="B5" s="28" t="s">
        <v>31</v>
      </c>
      <c r="C5" s="28" t="s">
        <v>32</v>
      </c>
      <c r="D5" s="28">
        <v>190.0</v>
      </c>
      <c r="E5" s="28">
        <v>12000.0</v>
      </c>
      <c r="F5" s="28">
        <v>480.0</v>
      </c>
      <c r="G5" s="29">
        <f t="shared" si="1"/>
        <v>0.04</v>
      </c>
      <c r="H5" s="30">
        <f t="shared" si="2"/>
        <v>0.3958333333</v>
      </c>
      <c r="I5" s="28">
        <v>22.0</v>
      </c>
      <c r="J5" s="29">
        <f t="shared" si="3"/>
        <v>0.04583333333</v>
      </c>
      <c r="K5" s="31">
        <f t="shared" si="4"/>
        <v>20.26315789</v>
      </c>
      <c r="L5" s="30">
        <f t="shared" si="5"/>
        <v>8.636363636</v>
      </c>
      <c r="M5" s="28">
        <v>3850.0</v>
      </c>
      <c r="N5" s="28" t="s">
        <v>28</v>
      </c>
    </row>
    <row r="6">
      <c r="A6" s="32" t="s">
        <v>33</v>
      </c>
      <c r="B6" s="32" t="s">
        <v>26</v>
      </c>
      <c r="C6" s="32" t="s">
        <v>27</v>
      </c>
      <c r="D6" s="32">
        <v>268.0</v>
      </c>
      <c r="E6" s="32">
        <v>19200.0</v>
      </c>
      <c r="F6" s="32">
        <v>645.0</v>
      </c>
      <c r="G6" s="33">
        <f t="shared" si="1"/>
        <v>0.03359375</v>
      </c>
      <c r="H6" s="34">
        <f t="shared" si="2"/>
        <v>0.415503876</v>
      </c>
      <c r="I6" s="32">
        <v>21.0</v>
      </c>
      <c r="J6" s="33">
        <f t="shared" si="3"/>
        <v>0.03255813953</v>
      </c>
      <c r="K6" s="35">
        <f t="shared" si="4"/>
        <v>11.75373134</v>
      </c>
      <c r="L6" s="34">
        <f t="shared" si="5"/>
        <v>12.76190476</v>
      </c>
      <c r="M6" s="32">
        <v>3150.0</v>
      </c>
      <c r="N6" s="32" t="s">
        <v>28</v>
      </c>
    </row>
    <row r="7">
      <c r="A7" s="28" t="s">
        <v>33</v>
      </c>
      <c r="B7" s="28" t="s">
        <v>31</v>
      </c>
      <c r="C7" s="28" t="s">
        <v>32</v>
      </c>
      <c r="D7" s="28">
        <v>205.0</v>
      </c>
      <c r="E7" s="28">
        <v>13100.0</v>
      </c>
      <c r="F7" s="28">
        <v>510.0</v>
      </c>
      <c r="G7" s="29">
        <f t="shared" si="1"/>
        <v>0.03893129771</v>
      </c>
      <c r="H7" s="30">
        <f t="shared" si="2"/>
        <v>0.4019607843</v>
      </c>
      <c r="I7" s="28">
        <v>25.0</v>
      </c>
      <c r="J7" s="29">
        <f t="shared" si="3"/>
        <v>0.04901960784</v>
      </c>
      <c r="K7" s="31">
        <f t="shared" si="4"/>
        <v>20.12195122</v>
      </c>
      <c r="L7" s="30">
        <f t="shared" si="5"/>
        <v>8.2</v>
      </c>
      <c r="M7" s="28">
        <v>4125.0</v>
      </c>
      <c r="N7" s="28" t="s">
        <v>28</v>
      </c>
    </row>
    <row r="9">
      <c r="A9" s="36" t="s">
        <v>34</v>
      </c>
      <c r="B9" s="2"/>
      <c r="C9" s="3"/>
      <c r="D9" s="37">
        <f t="shared" ref="D9:F9" si="6">SUM(D3:D8)</f>
        <v>998</v>
      </c>
      <c r="E9" s="38">
        <f t="shared" si="6"/>
        <v>107800</v>
      </c>
      <c r="F9" s="38">
        <f t="shared" si="6"/>
        <v>2465</v>
      </c>
      <c r="G9" s="39">
        <f>IFERROR(SUM(F3:F8)/SUM(E3:E8),0)</f>
        <v>0.02286641929</v>
      </c>
      <c r="H9" s="37">
        <f>IFERROR(SUM(D3:D8)/SUM(F3:F8),0)</f>
        <v>0.4048681542</v>
      </c>
      <c r="I9" s="38">
        <f>SUM(I3:I8)</f>
        <v>94</v>
      </c>
      <c r="J9" s="39">
        <f>IFERROR(SUM(I3:I8)/SUM(F3:F8),0)</f>
        <v>0.03813387424</v>
      </c>
      <c r="K9" s="40">
        <f>IFERROR(SUM(M3:M8)/SUM(D3:D8),0)</f>
        <v>14.81462926</v>
      </c>
      <c r="L9" s="37">
        <f>IFERROR(SUM(D3:D8)/SUM(I3:I8),0)</f>
        <v>10.61702128</v>
      </c>
      <c r="M9" s="37">
        <f>SUM(M3:M8)</f>
        <v>14785</v>
      </c>
    </row>
    <row r="11">
      <c r="A11" s="41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A9:C9"/>
    <mergeCell ref="A11:N1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4" width="20.0"/>
    <col customWidth="1" min="5" max="6" width="22.0"/>
    <col customWidth="1" min="7" max="26" width="8.71"/>
  </cols>
  <sheetData>
    <row r="1" ht="34.5" customHeight="1">
      <c r="A1" s="26" t="s">
        <v>36</v>
      </c>
      <c r="B1" s="2"/>
      <c r="C1" s="2"/>
      <c r="D1" s="2"/>
      <c r="E1" s="2"/>
      <c r="F1" s="3"/>
    </row>
    <row r="3">
      <c r="A3" s="42" t="s">
        <v>37</v>
      </c>
      <c r="B3" s="2"/>
      <c r="C3" s="2"/>
      <c r="D3" s="2"/>
      <c r="E3" s="2"/>
      <c r="F3" s="3"/>
    </row>
    <row r="4">
      <c r="A4" s="43" t="s">
        <v>38</v>
      </c>
      <c r="B4" s="44">
        <v>50000.0</v>
      </c>
      <c r="C4" s="45" t="s">
        <v>39</v>
      </c>
    </row>
    <row r="5">
      <c r="A5" s="43" t="s">
        <v>40</v>
      </c>
      <c r="B5" s="44">
        <v>300.0</v>
      </c>
      <c r="C5" s="45" t="s">
        <v>39</v>
      </c>
    </row>
    <row r="6">
      <c r="A6" s="43" t="s">
        <v>41</v>
      </c>
      <c r="B6" s="44">
        <v>2.5</v>
      </c>
      <c r="C6" s="45" t="s">
        <v>42</v>
      </c>
    </row>
    <row r="7">
      <c r="A7" s="43" t="s">
        <v>43</v>
      </c>
      <c r="B7" s="44">
        <v>1.5</v>
      </c>
      <c r="C7" s="45" t="s">
        <v>39</v>
      </c>
    </row>
    <row r="8">
      <c r="A8" s="43" t="s">
        <v>44</v>
      </c>
      <c r="B8" s="44">
        <v>40.0</v>
      </c>
      <c r="C8" s="45" t="s">
        <v>42</v>
      </c>
    </row>
    <row r="9">
      <c r="A9" s="43" t="s">
        <v>45</v>
      </c>
      <c r="B9" s="44">
        <v>4.0</v>
      </c>
      <c r="C9" s="45" t="s">
        <v>46</v>
      </c>
    </row>
    <row r="11">
      <c r="A11" s="46" t="s">
        <v>47</v>
      </c>
      <c r="B11" s="2"/>
      <c r="C11" s="2"/>
      <c r="D11" s="2"/>
      <c r="E11" s="2"/>
      <c r="F11" s="3"/>
    </row>
    <row r="12">
      <c r="A12" s="47" t="s">
        <v>48</v>
      </c>
      <c r="B12" s="48">
        <f>CEILING(B4/B5,1)</f>
        <v>167</v>
      </c>
    </row>
    <row r="13">
      <c r="A13" s="47" t="s">
        <v>49</v>
      </c>
      <c r="B13" s="48">
        <f>CEILING(B12/(B6/100),1)</f>
        <v>6680</v>
      </c>
    </row>
    <row r="14">
      <c r="A14" s="47" t="s">
        <v>50</v>
      </c>
      <c r="B14" s="49">
        <f>CEILING(B13*B7,1)</f>
        <v>10020</v>
      </c>
    </row>
    <row r="15">
      <c r="A15" s="47" t="s">
        <v>51</v>
      </c>
      <c r="B15" s="49">
        <f>CEILING(B14/30,1)</f>
        <v>334</v>
      </c>
    </row>
    <row r="16">
      <c r="A16" s="47" t="s">
        <v>52</v>
      </c>
      <c r="B16" s="50">
        <f>IFERROR(B4/B14,0)</f>
        <v>4.99001996</v>
      </c>
    </row>
    <row r="17">
      <c r="A17" s="47" t="s">
        <v>53</v>
      </c>
      <c r="B17" s="49">
        <f>IFERROR(B4*(B8/100)-B14,0)</f>
        <v>9980</v>
      </c>
    </row>
    <row r="18">
      <c r="A18" s="47" t="s">
        <v>54</v>
      </c>
      <c r="B18" s="50">
        <f>IFERROR(1/(B8/100),0)</f>
        <v>2.5</v>
      </c>
    </row>
    <row r="19">
      <c r="A19" s="47" t="s">
        <v>55</v>
      </c>
      <c r="B19" s="49">
        <f>IFERROR(B5*(B8/100),0)</f>
        <v>120</v>
      </c>
    </row>
    <row r="21" ht="15.75" customHeight="1">
      <c r="A21" s="51" t="s">
        <v>56</v>
      </c>
      <c r="B21" s="2"/>
      <c r="C21" s="2"/>
      <c r="D21" s="2"/>
      <c r="E21" s="2"/>
      <c r="F21" s="3"/>
    </row>
    <row r="22" ht="15.75" customHeight="1">
      <c r="A22" s="52" t="s">
        <v>57</v>
      </c>
      <c r="B22" s="52" t="s">
        <v>58</v>
      </c>
      <c r="C22" s="52" t="s">
        <v>59</v>
      </c>
      <c r="D22" s="52" t="s">
        <v>60</v>
      </c>
      <c r="E22" s="52" t="s">
        <v>61</v>
      </c>
      <c r="F22" s="52" t="s">
        <v>62</v>
      </c>
    </row>
    <row r="23" ht="15.75" customHeight="1">
      <c r="A23" s="53" t="s">
        <v>63</v>
      </c>
      <c r="B23" s="54">
        <v>50.0</v>
      </c>
      <c r="C23" s="55">
        <f t="shared" ref="C23:C26" si="1">B23*30</f>
        <v>1500</v>
      </c>
      <c r="D23" s="56">
        <f>C23/B7</f>
        <v>1000</v>
      </c>
      <c r="E23" s="56">
        <f>D23*(B6/100)</f>
        <v>25</v>
      </c>
      <c r="F23" s="55">
        <f>E23*B5</f>
        <v>7500</v>
      </c>
    </row>
    <row r="24" ht="15.75" customHeight="1">
      <c r="A24" s="57" t="s">
        <v>64</v>
      </c>
      <c r="B24" s="54">
        <v>150.0</v>
      </c>
      <c r="C24" s="58">
        <f t="shared" si="1"/>
        <v>4500</v>
      </c>
      <c r="D24" s="59">
        <f>C24/B7</f>
        <v>3000</v>
      </c>
      <c r="E24" s="59">
        <f>D24*(B6/100)</f>
        <v>75</v>
      </c>
      <c r="F24" s="58">
        <f>E24*B5</f>
        <v>22500</v>
      </c>
    </row>
    <row r="25" ht="15.75" customHeight="1">
      <c r="A25" s="60" t="s">
        <v>65</v>
      </c>
      <c r="B25" s="54">
        <v>300.0</v>
      </c>
      <c r="C25" s="61">
        <f t="shared" si="1"/>
        <v>9000</v>
      </c>
      <c r="D25" s="62">
        <f>C25/B7</f>
        <v>6000</v>
      </c>
      <c r="E25" s="62">
        <f>D25*(B6/100)</f>
        <v>150</v>
      </c>
      <c r="F25" s="61">
        <f>E25*B5</f>
        <v>45000</v>
      </c>
    </row>
    <row r="26" ht="15.75" customHeight="1">
      <c r="A26" s="63" t="s">
        <v>66</v>
      </c>
      <c r="B26" s="54">
        <v>600.0</v>
      </c>
      <c r="C26" s="64">
        <f t="shared" si="1"/>
        <v>18000</v>
      </c>
      <c r="D26" s="65">
        <f>C26/B7</f>
        <v>12000</v>
      </c>
      <c r="E26" s="65">
        <f>D26*(B6/100)</f>
        <v>300</v>
      </c>
      <c r="F26" s="64">
        <f>E26*B5</f>
        <v>90000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F3"/>
    <mergeCell ref="A11:F11"/>
    <mergeCell ref="A21:F2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0"/>
    <col customWidth="1" min="2" max="2" width="12.0"/>
    <col customWidth="1" min="3" max="3" width="14.0"/>
    <col customWidth="1" min="4" max="4" width="12.0"/>
    <col customWidth="1" min="5" max="5" width="10.0"/>
    <col customWidth="1" min="6" max="6" width="12.0"/>
    <col customWidth="1" min="7" max="7" width="8.0"/>
    <col customWidth="1" min="8" max="9" width="14.0"/>
    <col customWidth="1" min="10" max="10" width="35.0"/>
    <col customWidth="1" min="11" max="26" width="8.71"/>
  </cols>
  <sheetData>
    <row r="1" ht="34.5" customHeight="1">
      <c r="A1" s="26" t="s">
        <v>67</v>
      </c>
      <c r="B1" s="2"/>
      <c r="C1" s="2"/>
      <c r="D1" s="2"/>
      <c r="E1" s="2"/>
      <c r="F1" s="2"/>
      <c r="G1" s="2"/>
      <c r="H1" s="2"/>
      <c r="I1" s="2"/>
      <c r="J1" s="3"/>
    </row>
    <row r="2">
      <c r="A2" s="66" t="s">
        <v>68</v>
      </c>
      <c r="B2" s="66" t="s">
        <v>69</v>
      </c>
      <c r="C2" s="66" t="s">
        <v>17</v>
      </c>
      <c r="D2" s="66" t="s">
        <v>18</v>
      </c>
      <c r="E2" s="66" t="s">
        <v>19</v>
      </c>
      <c r="F2" s="66" t="s">
        <v>70</v>
      </c>
      <c r="G2" s="66" t="s">
        <v>71</v>
      </c>
      <c r="H2" s="66" t="s">
        <v>21</v>
      </c>
      <c r="I2" s="66" t="s">
        <v>72</v>
      </c>
      <c r="J2" s="66" t="s">
        <v>73</v>
      </c>
    </row>
    <row r="3">
      <c r="A3" s="67" t="s">
        <v>74</v>
      </c>
      <c r="B3" s="67" t="s">
        <v>75</v>
      </c>
      <c r="C3" s="67">
        <v>4500.0</v>
      </c>
      <c r="D3" s="67">
        <v>180.0</v>
      </c>
      <c r="E3" s="68">
        <f t="shared" ref="E3:E10" si="1">IFERROR(D3/C3,0)</f>
        <v>0.04</v>
      </c>
      <c r="F3" s="69">
        <v>1.8</v>
      </c>
      <c r="G3" s="70">
        <v>8.0</v>
      </c>
      <c r="H3" s="67">
        <v>12.0</v>
      </c>
      <c r="I3" s="69">
        <f t="shared" ref="I3:I10" si="2">IFERROR(F3*D3/H3,0)</f>
        <v>27</v>
      </c>
      <c r="J3" s="67" t="str">
        <f t="shared" ref="J3:J10" si="3">IF(H3=0,IF(G3&lt;5,"🔴 أوقفي — QS منخفض وبدون تحويل","🟡 أعطيها فرصة أسبوع"),IF(G3&gt;=7,IF(I3&lt;=150,"✅ استمري وزيدي","🟡 راجعي العطاء"),"⚠️ حسّني الإعلان لرفع QS"))</f>
        <v>✅ استمري وزيدي</v>
      </c>
    </row>
    <row r="4">
      <c r="A4" s="71" t="s">
        <v>76</v>
      </c>
      <c r="B4" s="71" t="s">
        <v>77</v>
      </c>
      <c r="C4" s="71">
        <v>3200.0</v>
      </c>
      <c r="D4" s="71">
        <v>95.0</v>
      </c>
      <c r="E4" s="72">
        <f t="shared" si="1"/>
        <v>0.0296875</v>
      </c>
      <c r="F4" s="73">
        <v>2.1</v>
      </c>
      <c r="G4" s="74">
        <v>7.0</v>
      </c>
      <c r="H4" s="71">
        <v>7.0</v>
      </c>
      <c r="I4" s="73">
        <f t="shared" si="2"/>
        <v>28.5</v>
      </c>
      <c r="J4" s="71" t="str">
        <f t="shared" si="3"/>
        <v>✅ استمري وزيدي</v>
      </c>
    </row>
    <row r="5">
      <c r="A5" s="67" t="s">
        <v>78</v>
      </c>
      <c r="B5" s="67" t="s">
        <v>79</v>
      </c>
      <c r="C5" s="67">
        <v>12000.0</v>
      </c>
      <c r="D5" s="67">
        <v>210.0</v>
      </c>
      <c r="E5" s="68">
        <f t="shared" si="1"/>
        <v>0.0175</v>
      </c>
      <c r="F5" s="69">
        <v>1.2</v>
      </c>
      <c r="G5" s="74">
        <v>6.0</v>
      </c>
      <c r="H5" s="67">
        <v>5.0</v>
      </c>
      <c r="I5" s="69">
        <f t="shared" si="2"/>
        <v>50.4</v>
      </c>
      <c r="J5" s="67" t="str">
        <f t="shared" si="3"/>
        <v>⚠️ حسّني الإعلان لرفع QS</v>
      </c>
    </row>
    <row r="6">
      <c r="A6" s="71" t="s">
        <v>80</v>
      </c>
      <c r="B6" s="71" t="s">
        <v>79</v>
      </c>
      <c r="C6" s="71">
        <v>2800.0</v>
      </c>
      <c r="D6" s="71">
        <v>88.0</v>
      </c>
      <c r="E6" s="72">
        <f t="shared" si="1"/>
        <v>0.03142857143</v>
      </c>
      <c r="F6" s="73">
        <v>0.9</v>
      </c>
      <c r="G6" s="75">
        <v>4.0</v>
      </c>
      <c r="H6" s="71">
        <v>1.0</v>
      </c>
      <c r="I6" s="73">
        <f t="shared" si="2"/>
        <v>79.2</v>
      </c>
      <c r="J6" s="71" t="str">
        <f t="shared" si="3"/>
        <v>⚠️ حسّني الإعلان لرفع QS</v>
      </c>
    </row>
    <row r="7">
      <c r="A7" s="67" t="s">
        <v>81</v>
      </c>
      <c r="B7" s="67" t="s">
        <v>79</v>
      </c>
      <c r="C7" s="67">
        <v>1500.0</v>
      </c>
      <c r="D7" s="67">
        <v>45.0</v>
      </c>
      <c r="E7" s="68">
        <f t="shared" si="1"/>
        <v>0.03</v>
      </c>
      <c r="F7" s="69">
        <v>0.8</v>
      </c>
      <c r="G7" s="75">
        <v>3.0</v>
      </c>
      <c r="H7" s="67">
        <v>0.0</v>
      </c>
      <c r="I7" s="69">
        <f t="shared" si="2"/>
        <v>0</v>
      </c>
      <c r="J7" s="67" t="str">
        <f t="shared" si="3"/>
        <v>🔴 أوقفي — QS منخفض وبدون تحويل</v>
      </c>
    </row>
    <row r="8">
      <c r="A8" s="71" t="s">
        <v>82</v>
      </c>
      <c r="B8" s="71" t="s">
        <v>77</v>
      </c>
      <c r="C8" s="71">
        <v>1800.0</v>
      </c>
      <c r="D8" s="71">
        <v>72.0</v>
      </c>
      <c r="E8" s="72">
        <f t="shared" si="1"/>
        <v>0.04</v>
      </c>
      <c r="F8" s="73">
        <v>3.2</v>
      </c>
      <c r="G8" s="70">
        <v>9.0</v>
      </c>
      <c r="H8" s="71">
        <v>9.0</v>
      </c>
      <c r="I8" s="73">
        <f t="shared" si="2"/>
        <v>25.6</v>
      </c>
      <c r="J8" s="71" t="str">
        <f t="shared" si="3"/>
        <v>✅ استمري وزيدي</v>
      </c>
    </row>
    <row r="9">
      <c r="A9" s="67" t="s">
        <v>83</v>
      </c>
      <c r="B9" s="67" t="s">
        <v>77</v>
      </c>
      <c r="C9" s="67">
        <v>2100.0</v>
      </c>
      <c r="D9" s="67">
        <v>84.0</v>
      </c>
      <c r="E9" s="68">
        <f t="shared" si="1"/>
        <v>0.04</v>
      </c>
      <c r="F9" s="69">
        <v>1.5</v>
      </c>
      <c r="G9" s="74">
        <v>7.0</v>
      </c>
      <c r="H9" s="67">
        <v>6.0</v>
      </c>
      <c r="I9" s="69">
        <f t="shared" si="2"/>
        <v>21</v>
      </c>
      <c r="J9" s="67" t="str">
        <f t="shared" si="3"/>
        <v>✅ استمري وزيدي</v>
      </c>
    </row>
    <row r="10">
      <c r="A10" s="71" t="s">
        <v>84</v>
      </c>
      <c r="B10" s="71" t="s">
        <v>79</v>
      </c>
      <c r="C10" s="71">
        <v>500.0</v>
      </c>
      <c r="D10" s="71">
        <v>15.0</v>
      </c>
      <c r="E10" s="72">
        <f t="shared" si="1"/>
        <v>0.03</v>
      </c>
      <c r="F10" s="73">
        <v>1.1</v>
      </c>
      <c r="G10" s="75">
        <v>5.0</v>
      </c>
      <c r="H10" s="71">
        <v>0.0</v>
      </c>
      <c r="I10" s="73">
        <f t="shared" si="2"/>
        <v>0</v>
      </c>
      <c r="J10" s="71" t="str">
        <f t="shared" si="3"/>
        <v>🟡 أعطيها فرصة أسبوع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14.0"/>
    <col customWidth="1" min="4" max="4" width="35.0"/>
    <col customWidth="1" min="5" max="5" width="40.0"/>
    <col customWidth="1" min="6" max="6" width="18.0"/>
    <col customWidth="1" min="7" max="7" width="14.0"/>
    <col customWidth="1" min="8" max="26" width="8.71"/>
  </cols>
  <sheetData>
    <row r="1" ht="39.75" customHeight="1">
      <c r="A1" s="76" t="s">
        <v>85</v>
      </c>
      <c r="B1" s="2"/>
      <c r="C1" s="2"/>
      <c r="D1" s="2"/>
      <c r="E1" s="2"/>
      <c r="F1" s="2"/>
      <c r="G1" s="3"/>
    </row>
    <row r="2">
      <c r="A2" s="77" t="s">
        <v>86</v>
      </c>
      <c r="B2" s="77" t="s">
        <v>57</v>
      </c>
      <c r="C2" s="77" t="s">
        <v>10</v>
      </c>
      <c r="D2" s="77" t="s">
        <v>87</v>
      </c>
      <c r="E2" s="77" t="s">
        <v>88</v>
      </c>
      <c r="F2" s="77" t="s">
        <v>89</v>
      </c>
      <c r="G2" s="77" t="s">
        <v>90</v>
      </c>
    </row>
    <row r="3">
      <c r="A3" s="67" t="s">
        <v>9</v>
      </c>
      <c r="B3" s="67" t="s">
        <v>91</v>
      </c>
      <c r="C3" s="67" t="s">
        <v>92</v>
      </c>
      <c r="D3" s="67" t="s">
        <v>93</v>
      </c>
      <c r="E3" s="67" t="s">
        <v>94</v>
      </c>
      <c r="F3" s="67" t="s">
        <v>95</v>
      </c>
      <c r="G3" s="75" t="s">
        <v>96</v>
      </c>
    </row>
    <row r="4">
      <c r="A4" s="71" t="s">
        <v>9</v>
      </c>
      <c r="B4" s="71" t="s">
        <v>97</v>
      </c>
      <c r="C4" s="71" t="s">
        <v>98</v>
      </c>
      <c r="D4" s="71" t="s">
        <v>99</v>
      </c>
      <c r="E4" s="71" t="s">
        <v>100</v>
      </c>
      <c r="F4" s="71" t="s">
        <v>101</v>
      </c>
      <c r="G4" s="74" t="s">
        <v>102</v>
      </c>
    </row>
    <row r="5">
      <c r="A5" s="67" t="s">
        <v>9</v>
      </c>
      <c r="B5" s="67" t="s">
        <v>103</v>
      </c>
      <c r="C5" s="67" t="s">
        <v>104</v>
      </c>
      <c r="D5" s="67" t="s">
        <v>105</v>
      </c>
      <c r="E5" s="67" t="s">
        <v>106</v>
      </c>
      <c r="F5" s="67" t="s">
        <v>95</v>
      </c>
      <c r="G5" s="75" t="s">
        <v>96</v>
      </c>
    </row>
    <row r="6">
      <c r="A6" s="71" t="s">
        <v>19</v>
      </c>
      <c r="B6" s="71" t="s">
        <v>107</v>
      </c>
      <c r="C6" s="71" t="s">
        <v>108</v>
      </c>
      <c r="D6" s="71" t="s">
        <v>109</v>
      </c>
      <c r="E6" s="71" t="s">
        <v>110</v>
      </c>
      <c r="F6" s="71" t="s">
        <v>111</v>
      </c>
      <c r="G6" s="74" t="s">
        <v>102</v>
      </c>
    </row>
    <row r="7">
      <c r="A7" s="67" t="s">
        <v>19</v>
      </c>
      <c r="B7" s="67" t="s">
        <v>112</v>
      </c>
      <c r="C7" s="67" t="s">
        <v>92</v>
      </c>
      <c r="D7" s="67" t="s">
        <v>113</v>
      </c>
      <c r="E7" s="67" t="s">
        <v>114</v>
      </c>
      <c r="F7" s="67" t="s">
        <v>101</v>
      </c>
      <c r="G7" s="74" t="s">
        <v>102</v>
      </c>
    </row>
    <row r="8">
      <c r="A8" s="71" t="s">
        <v>71</v>
      </c>
      <c r="B8" s="71" t="s">
        <v>115</v>
      </c>
      <c r="C8" s="71" t="s">
        <v>116</v>
      </c>
      <c r="D8" s="71" t="s">
        <v>117</v>
      </c>
      <c r="E8" s="71" t="s">
        <v>118</v>
      </c>
      <c r="F8" s="71" t="s">
        <v>111</v>
      </c>
      <c r="G8" s="75" t="s">
        <v>96</v>
      </c>
    </row>
    <row r="9">
      <c r="A9" s="67" t="s">
        <v>71</v>
      </c>
      <c r="B9" s="67" t="s">
        <v>119</v>
      </c>
      <c r="C9" s="67" t="s">
        <v>92</v>
      </c>
      <c r="D9" s="67" t="s">
        <v>120</v>
      </c>
      <c r="E9" s="67" t="s">
        <v>121</v>
      </c>
      <c r="F9" s="67" t="s">
        <v>122</v>
      </c>
      <c r="G9" s="70" t="s">
        <v>123</v>
      </c>
    </row>
    <row r="10">
      <c r="A10" s="71" t="s">
        <v>22</v>
      </c>
      <c r="B10" s="71" t="s">
        <v>107</v>
      </c>
      <c r="C10" s="71" t="s">
        <v>108</v>
      </c>
      <c r="D10" s="71" t="s">
        <v>124</v>
      </c>
      <c r="E10" s="71" t="s">
        <v>125</v>
      </c>
      <c r="F10" s="71" t="s">
        <v>101</v>
      </c>
      <c r="G10" s="74" t="s">
        <v>102</v>
      </c>
    </row>
    <row r="11">
      <c r="A11" s="67" t="s">
        <v>126</v>
      </c>
      <c r="B11" s="67" t="s">
        <v>127</v>
      </c>
      <c r="C11" s="67" t="s">
        <v>128</v>
      </c>
      <c r="D11" s="67" t="s">
        <v>129</v>
      </c>
      <c r="E11" s="67" t="s">
        <v>130</v>
      </c>
      <c r="F11" s="67" t="s">
        <v>101</v>
      </c>
      <c r="G11" s="74" t="s">
        <v>102</v>
      </c>
    </row>
    <row r="12">
      <c r="A12" s="71" t="s">
        <v>72</v>
      </c>
      <c r="B12" s="71" t="s">
        <v>131</v>
      </c>
      <c r="C12" s="71" t="s">
        <v>104</v>
      </c>
      <c r="D12" s="71" t="s">
        <v>132</v>
      </c>
      <c r="E12" s="71" t="s">
        <v>133</v>
      </c>
      <c r="F12" s="71" t="s">
        <v>95</v>
      </c>
      <c r="G12" s="75" t="s">
        <v>96</v>
      </c>
    </row>
    <row r="13">
      <c r="A13" s="67" t="s">
        <v>134</v>
      </c>
      <c r="B13" s="67" t="s">
        <v>135</v>
      </c>
      <c r="C13" s="67" t="s">
        <v>136</v>
      </c>
      <c r="D13" s="67" t="s">
        <v>137</v>
      </c>
      <c r="E13" s="67" t="s">
        <v>138</v>
      </c>
      <c r="F13" s="67" t="s">
        <v>139</v>
      </c>
      <c r="G13" s="74" t="s">
        <v>102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20.0"/>
    <col customWidth="1" min="4" max="4" width="23.57"/>
    <col customWidth="1" min="5" max="6" width="18.0"/>
    <col customWidth="1" min="7" max="26" width="8.71"/>
  </cols>
  <sheetData>
    <row r="1" ht="34.5" customHeight="1">
      <c r="A1" s="26" t="s">
        <v>140</v>
      </c>
      <c r="B1" s="2"/>
      <c r="C1" s="2"/>
      <c r="D1" s="2"/>
      <c r="E1" s="2"/>
      <c r="F1" s="3"/>
    </row>
    <row r="3">
      <c r="A3" s="42" t="s">
        <v>141</v>
      </c>
      <c r="B3" s="2"/>
      <c r="C3" s="2"/>
      <c r="D3" s="2"/>
      <c r="E3" s="2"/>
      <c r="F3" s="3"/>
    </row>
    <row r="4">
      <c r="A4" s="78" t="s">
        <v>142</v>
      </c>
      <c r="B4" s="79"/>
      <c r="C4" s="80"/>
      <c r="D4" s="44" t="s">
        <v>143</v>
      </c>
    </row>
    <row r="5">
      <c r="A5" s="78" t="s">
        <v>144</v>
      </c>
      <c r="B5" s="79"/>
      <c r="C5" s="80"/>
      <c r="D5" s="81"/>
    </row>
    <row r="6">
      <c r="A6" s="78" t="s">
        <v>145</v>
      </c>
      <c r="B6" s="79"/>
      <c r="C6" s="80"/>
      <c r="D6" s="81"/>
    </row>
    <row r="7">
      <c r="A7" s="78" t="s">
        <v>146</v>
      </c>
      <c r="B7" s="79"/>
      <c r="C7" s="80"/>
      <c r="D7" s="81"/>
    </row>
    <row r="8">
      <c r="A8" s="78" t="s">
        <v>147</v>
      </c>
      <c r="B8" s="79"/>
      <c r="C8" s="80"/>
      <c r="D8" s="82">
        <f>IFERROR(D7/D6,0)</f>
        <v>0</v>
      </c>
    </row>
    <row r="9">
      <c r="A9" s="78" t="s">
        <v>2</v>
      </c>
      <c r="B9" s="79"/>
      <c r="C9" s="80"/>
      <c r="D9" s="44"/>
    </row>
    <row r="10">
      <c r="A10" s="78" t="s">
        <v>148</v>
      </c>
      <c r="B10" s="79"/>
      <c r="C10" s="80"/>
      <c r="D10" s="83">
        <f>IFERROR(D6/D9,0)</f>
        <v>0</v>
      </c>
    </row>
    <row r="11">
      <c r="A11" s="78" t="s">
        <v>149</v>
      </c>
      <c r="B11" s="79"/>
      <c r="C11" s="80"/>
      <c r="D11" s="44"/>
    </row>
    <row r="12">
      <c r="A12" s="78" t="s">
        <v>150</v>
      </c>
      <c r="B12" s="79"/>
      <c r="C12" s="80"/>
      <c r="D12" s="44"/>
    </row>
    <row r="15">
      <c r="A15" s="46" t="s">
        <v>151</v>
      </c>
      <c r="B15" s="2"/>
      <c r="C15" s="2"/>
      <c r="D15" s="2"/>
      <c r="E15" s="2"/>
      <c r="F15" s="3"/>
    </row>
    <row r="16" ht="30.0" customHeight="1">
      <c r="A16" s="84" t="s">
        <v>152</v>
      </c>
      <c r="B16" s="3"/>
      <c r="C16" s="85"/>
      <c r="D16" s="79"/>
      <c r="E16" s="79"/>
      <c r="F16" s="80"/>
    </row>
    <row r="17" ht="30.0" customHeight="1">
      <c r="A17" s="84" t="s">
        <v>153</v>
      </c>
      <c r="B17" s="3"/>
      <c r="C17" s="85"/>
      <c r="D17" s="79"/>
      <c r="E17" s="79"/>
      <c r="F17" s="80"/>
    </row>
    <row r="18" ht="30.0" customHeight="1">
      <c r="A18" s="84" t="s">
        <v>154</v>
      </c>
      <c r="B18" s="3"/>
      <c r="C18" s="85"/>
      <c r="D18" s="79"/>
      <c r="E18" s="79"/>
      <c r="F18" s="80"/>
    </row>
    <row r="19" ht="30.0" customHeight="1">
      <c r="A19" s="84" t="s">
        <v>155</v>
      </c>
      <c r="B19" s="3"/>
      <c r="C19" s="85"/>
      <c r="D19" s="79"/>
      <c r="E19" s="79"/>
      <c r="F19" s="80"/>
    </row>
    <row r="20" ht="30.0" customHeight="1">
      <c r="A20" s="84" t="s">
        <v>156</v>
      </c>
      <c r="B20" s="3"/>
      <c r="C20" s="85"/>
      <c r="D20" s="79"/>
      <c r="E20" s="79"/>
      <c r="F20" s="80"/>
    </row>
    <row r="21" ht="15.75" customHeight="1"/>
    <row r="22" ht="15.75" customHeight="1"/>
    <row r="23" ht="15.75" customHeight="1">
      <c r="A23" s="51" t="s">
        <v>157</v>
      </c>
      <c r="B23" s="2"/>
      <c r="C23" s="2"/>
      <c r="D23" s="2"/>
      <c r="E23" s="2"/>
      <c r="F23" s="3"/>
    </row>
    <row r="24" ht="30.0" customHeight="1">
      <c r="A24" s="86" t="s">
        <v>158</v>
      </c>
      <c r="B24" s="3"/>
      <c r="C24" s="85"/>
      <c r="D24" s="79"/>
      <c r="E24" s="79"/>
      <c r="F24" s="80"/>
    </row>
    <row r="25" ht="30.0" customHeight="1">
      <c r="A25" s="86" t="s">
        <v>159</v>
      </c>
      <c r="B25" s="3"/>
      <c r="C25" s="85"/>
      <c r="D25" s="79"/>
      <c r="E25" s="79"/>
      <c r="F25" s="80"/>
    </row>
    <row r="26" ht="30.0" customHeight="1">
      <c r="A26" s="86" t="s">
        <v>160</v>
      </c>
      <c r="B26" s="3"/>
      <c r="C26" s="85"/>
      <c r="D26" s="79"/>
      <c r="E26" s="79"/>
      <c r="F26" s="80"/>
    </row>
    <row r="27" ht="30.0" customHeight="1">
      <c r="A27" s="86" t="s">
        <v>161</v>
      </c>
      <c r="B27" s="3"/>
      <c r="C27" s="85"/>
      <c r="D27" s="79"/>
      <c r="E27" s="79"/>
      <c r="F27" s="80"/>
    </row>
    <row r="28" ht="30.0" customHeight="1">
      <c r="A28" s="86" t="s">
        <v>162</v>
      </c>
      <c r="B28" s="3"/>
      <c r="C28" s="85"/>
      <c r="D28" s="79"/>
      <c r="E28" s="79"/>
      <c r="F28" s="8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F1"/>
    <mergeCell ref="A3:F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A26:B26"/>
    <mergeCell ref="A27:B27"/>
    <mergeCell ref="A28:B28"/>
    <mergeCell ref="C27:F27"/>
    <mergeCell ref="C28:F28"/>
    <mergeCell ref="C20:F20"/>
    <mergeCell ref="A23:F23"/>
    <mergeCell ref="A24:B24"/>
    <mergeCell ref="C24:F24"/>
    <mergeCell ref="A25:B25"/>
    <mergeCell ref="C25:F25"/>
    <mergeCell ref="C26:F2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0"/>
    <col customWidth="1" min="2" max="2" width="18.0"/>
    <col customWidth="1" min="3" max="3" width="40.0"/>
    <col customWidth="1" min="4" max="4" width="18.0"/>
    <col customWidth="1" min="5" max="26" width="8.71"/>
  </cols>
  <sheetData>
    <row r="1">
      <c r="A1" s="87" t="s">
        <v>163</v>
      </c>
      <c r="B1" s="2"/>
      <c r="C1" s="2"/>
      <c r="D1" s="3"/>
    </row>
    <row r="2">
      <c r="A2" s="88" t="s">
        <v>164</v>
      </c>
      <c r="B2" s="88" t="s">
        <v>69</v>
      </c>
      <c r="C2" s="88" t="s">
        <v>165</v>
      </c>
      <c r="D2" s="88" t="s">
        <v>166</v>
      </c>
    </row>
    <row r="3">
      <c r="A3" s="28" t="s">
        <v>167</v>
      </c>
      <c r="B3" s="28" t="s">
        <v>75</v>
      </c>
      <c r="C3" s="28" t="s">
        <v>168</v>
      </c>
      <c r="D3" s="28"/>
    </row>
    <row r="4">
      <c r="A4" s="32" t="s">
        <v>169</v>
      </c>
      <c r="B4" s="32" t="s">
        <v>75</v>
      </c>
      <c r="C4" s="32" t="s">
        <v>168</v>
      </c>
      <c r="D4" s="32"/>
    </row>
    <row r="5">
      <c r="A5" s="28" t="s">
        <v>170</v>
      </c>
      <c r="B5" s="28" t="s">
        <v>79</v>
      </c>
      <c r="C5" s="28" t="s">
        <v>171</v>
      </c>
      <c r="D5" s="28"/>
    </row>
    <row r="6">
      <c r="A6" s="32" t="s">
        <v>172</v>
      </c>
      <c r="B6" s="32" t="s">
        <v>79</v>
      </c>
      <c r="C6" s="32" t="s">
        <v>173</v>
      </c>
      <c r="D6" s="32"/>
    </row>
    <row r="7">
      <c r="A7" s="28" t="s">
        <v>174</v>
      </c>
      <c r="B7" s="28" t="s">
        <v>79</v>
      </c>
      <c r="C7" s="28" t="s">
        <v>175</v>
      </c>
      <c r="D7" s="28"/>
    </row>
    <row r="8">
      <c r="A8" s="32" t="s">
        <v>176</v>
      </c>
      <c r="B8" s="32" t="s">
        <v>79</v>
      </c>
      <c r="C8" s="32" t="s">
        <v>177</v>
      </c>
      <c r="D8" s="32"/>
    </row>
    <row r="9">
      <c r="A9" s="28" t="s">
        <v>178</v>
      </c>
      <c r="B9" s="28" t="s">
        <v>75</v>
      </c>
      <c r="C9" s="28" t="s">
        <v>179</v>
      </c>
      <c r="D9" s="28"/>
    </row>
    <row r="10">
      <c r="A10" s="32" t="s">
        <v>180</v>
      </c>
      <c r="B10" s="32" t="s">
        <v>77</v>
      </c>
      <c r="C10" s="32" t="s">
        <v>181</v>
      </c>
      <c r="D10" s="32"/>
    </row>
    <row r="11">
      <c r="A11" s="28" t="s">
        <v>182</v>
      </c>
      <c r="B11" s="28" t="s">
        <v>75</v>
      </c>
      <c r="C11" s="28" t="s">
        <v>183</v>
      </c>
      <c r="D11" s="28"/>
    </row>
    <row r="12">
      <c r="A12" s="32" t="s">
        <v>184</v>
      </c>
      <c r="B12" s="32" t="s">
        <v>75</v>
      </c>
      <c r="C12" s="32" t="s">
        <v>185</v>
      </c>
      <c r="D12" s="32"/>
    </row>
    <row r="15">
      <c r="A15" s="89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D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2026-06-01T19:18:25Z</dcterms:created>
  <dc:creator>openpyxl</dc:creator>
</cp:coreProperties>
</file>